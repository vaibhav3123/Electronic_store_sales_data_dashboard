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aibhav\Downloads\"/>
    </mc:Choice>
  </mc:AlternateContent>
  <xr:revisionPtr revIDLastSave="0" documentId="8_{D382B109-A538-4FCA-9513-2BC42D83459F}" xr6:coauthVersionLast="47" xr6:coauthVersionMax="47" xr10:uidLastSave="{00000000-0000-0000-0000-000000000000}"/>
  <bookViews>
    <workbookView xWindow="-108" yWindow="-108" windowWidth="23256" windowHeight="12456" firstSheet="1" activeTab="9" xr2:uid="{8E0097F6-70AC-434E-AE97-6ED3F5BB88F6}"/>
  </bookViews>
  <sheets>
    <sheet name="Sheet3" sheetId="13" state="hidden" r:id="rId1"/>
    <sheet name="Data" sheetId="1" r:id="rId2"/>
    <sheet name="Dashboard" sheetId="2" r:id="rId3"/>
    <sheet name="About" sheetId="7" state="hidden" r:id="rId4"/>
    <sheet name="salesman" sheetId="6" state="hidden" r:id="rId5"/>
    <sheet name="Products" sheetId="4" state="hidden" r:id="rId6"/>
    <sheet name="Sheet1" sheetId="11" state="hidden" r:id="rId7"/>
    <sheet name="Sheet2" sheetId="12" state="hidden" r:id="rId8"/>
    <sheet name="Product" sheetId="8" r:id="rId9"/>
    <sheet name="Salesmans" sheetId="9" r:id="rId10"/>
    <sheet name="About me " sheetId="10" r:id="rId11"/>
    <sheet name="Pivot Tables" sheetId="3" state="hidden" r:id="rId12"/>
  </sheets>
  <definedNames>
    <definedName name="NativeTimeline_Date">#N/A</definedName>
    <definedName name="Slicer_Item">#N/A</definedName>
    <definedName name="Slicer_Region">#N/A</definedName>
  </definedNames>
  <calcPr calcId="191029"/>
  <pivotCaches>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13" l="1"/>
  <c r="B1" i="1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<sst xmlns="http://schemas.openxmlformats.org/spreadsheetml/2006/main" count="1189" uniqueCount="42">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</sst>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173250</c:v>
                </c:pt>
                <c:pt idx="1">
                  <c:v>75480</c:v>
                </c:pt>
                <c:pt idx="2">
                  <c:v>38280</c:v>
                </c:pt>
                <c:pt idx="3">
                  <c:v>118140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164"/>
        <c:overlap val="-22"/>
        <c:axId val="562423368"/>
        <c:axId val="562424024"/>
      </c:barChart>
      <c:catAx>
        <c:axId val="5624233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Tables!PivotTable6</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Tables'!$A$50:$A$52</c:f>
              <c:strCache>
                <c:ptCount val="2"/>
                <c:pt idx="0">
                  <c:v>Monitor</c:v>
                </c:pt>
                <c:pt idx="1">
                  <c:v>Mouse</c:v>
                </c:pt>
              </c:strCache>
            </c:strRef>
          </c:cat>
          <c:val>
            <c:numRef>
              <c:f>'Pivot Tables'!$B$50:$B$52</c:f>
              <c:numCache>
                <c:formatCode>0.00%</c:formatCode>
                <c:ptCount val="2"/>
                <c:pt idx="0">
                  <c:v>0.44035087719298244</c:v>
                </c:pt>
                <c:pt idx="1">
                  <c:v>0.55964912280701751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00"/>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09256670719354E-2"/>
          <c:y val="6.3217847769028876E-2"/>
          <c:w val="0.90348186001052322"/>
          <c:h val="0.69413858267716533"/>
        </c:manualLayout>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Lit>
          </c:val>
          <c:smooth val="0"/>
          <c:extLst>
            <c:ext xmlns:c16="http://schemas.microsoft.com/office/drawing/2014/chart" uri="{C3380CC4-5D6E-409C-BE32-E72D297353CC}">
              <c16:uniqueId val="{00000000-2BA6-4059-ACAD-399315BB3482}"/>
            </c:ext>
          </c:extLst>
        </c:ser>
        <c:dLbls>
          <c:showLegendKey val="0"/>
          <c:showVal val="0"/>
          <c:showCatName val="0"/>
          <c:showSerName val="0"/>
          <c:showPercent val="0"/>
          <c:showBubbleSize val="0"/>
        </c:dLbls>
        <c:marker val="1"/>
        <c:smooth val="0"/>
        <c:axId val="754020927"/>
        <c:axId val="754024767"/>
      </c:lineChart>
      <c:catAx>
        <c:axId val="75402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24767"/>
        <c:crosses val="autoZero"/>
        <c:auto val="1"/>
        <c:lblAlgn val="ctr"/>
        <c:lblOffset val="100"/>
        <c:noMultiLvlLbl val="0"/>
      </c:catAx>
      <c:valAx>
        <c:axId val="754024767"/>
        <c:scaling>
          <c:orientation val="minMax"/>
        </c:scaling>
        <c:delete val="1"/>
        <c:axPos val="l"/>
        <c:numFmt formatCode="General" sourceLinked="1"/>
        <c:majorTickMark val="none"/>
        <c:minorTickMark val="none"/>
        <c:tickLblPos val="nextTo"/>
        <c:crossAx val="75402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118440</c:v>
                </c:pt>
                <c:pt idx="1">
                  <c:v>30000</c:v>
                </c:pt>
                <c:pt idx="2">
                  <c:v>40200</c:v>
                </c:pt>
                <c:pt idx="3">
                  <c:v>36960</c:v>
                </c:pt>
                <c:pt idx="4">
                  <c:v>87930</c:v>
                </c:pt>
                <c:pt idx="5">
                  <c:v>91620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87930</c:v>
                </c:pt>
                <c:pt idx="1">
                  <c:v>91620</c:v>
                </c:pt>
                <c:pt idx="2">
                  <c:v>118440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Chandu</c:v>
                </c:pt>
                <c:pt idx="1">
                  <c:v>Ramesh</c:v>
                </c:pt>
                <c:pt idx="2">
                  <c:v>Amit</c:v>
                </c:pt>
              </c:strCache>
            </c:strRef>
          </c:cat>
          <c:val>
            <c:numRef>
              <c:f>'Pivot Tables'!$B$112:$B$115</c:f>
              <c:numCache>
                <c:formatCode>General</c:formatCode>
                <c:ptCount val="3"/>
                <c:pt idx="0">
                  <c:v>40200</c:v>
                </c:pt>
                <c:pt idx="1">
                  <c:v>36960</c:v>
                </c:pt>
                <c:pt idx="2">
                  <c:v>30000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Tables'!$A$62:$A$64</c:f>
              <c:strCache>
                <c:ptCount val="2"/>
                <c:pt idx="0">
                  <c:v>Monitor</c:v>
                </c:pt>
                <c:pt idx="1">
                  <c:v>Mouse</c:v>
                </c:pt>
              </c:strCache>
            </c:strRef>
          </c:cat>
          <c:val>
            <c:numRef>
              <c:f>'Pivot Tables'!$B$62:$B$64</c:f>
              <c:numCache>
                <c:formatCode>General</c:formatCode>
                <c:ptCount val="2"/>
                <c:pt idx="0">
                  <c:v>251</c:v>
                </c:pt>
                <c:pt idx="1">
                  <c:v>319</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Tables!PivotTable7</c:name>
    <c:fmtId val="2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72929283393833E-2"/>
          <c:y val="7.441860465116279E-2"/>
          <c:w val="0.92832707071660614"/>
          <c:h val="0.84957333821644387"/>
        </c:manualLayout>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Tables'!$A$62:$A$64</c:f>
              <c:strCache>
                <c:ptCount val="2"/>
                <c:pt idx="0">
                  <c:v>Monitor</c:v>
                </c:pt>
                <c:pt idx="1">
                  <c:v>Mouse</c:v>
                </c:pt>
              </c:strCache>
            </c:strRef>
          </c:cat>
          <c:val>
            <c:numRef>
              <c:f>'Pivot Tables'!$B$62:$B$64</c:f>
              <c:numCache>
                <c:formatCode>General</c:formatCode>
                <c:ptCount val="2"/>
                <c:pt idx="0">
                  <c:v>251</c:v>
                </c:pt>
                <c:pt idx="1">
                  <c:v>319</c:v>
                </c:pt>
              </c:numCache>
            </c:numRef>
          </c:val>
          <c:extLst>
            <c:ext xmlns:c16="http://schemas.microsoft.com/office/drawing/2014/chart" uri="{C3380CC4-5D6E-409C-BE32-E72D297353CC}">
              <c16:uniqueId val="{00000000-18B9-4D7F-9DE7-20D8E3185F99}"/>
            </c:ext>
          </c:extLst>
        </c:ser>
        <c:dLbls>
          <c:dLblPos val="outEnd"/>
          <c:showLegendKey val="0"/>
          <c:showVal val="1"/>
          <c:showCatName val="0"/>
          <c:showSerName val="0"/>
          <c:showPercent val="0"/>
          <c:showBubbleSize val="0"/>
        </c:dLbls>
        <c:gapWidth val="219"/>
        <c:overlap val="-27"/>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Tables!PivotTable8</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171C-4C24-A1DD-A2C68EE6A36C}"/>
            </c:ext>
          </c:extLst>
        </c:ser>
        <c:dLbls>
          <c:dLblPos val="outEnd"/>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Tables!PivotTable11</c:name>
    <c:fmtId val="4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118440</c:v>
                </c:pt>
                <c:pt idx="1">
                  <c:v>30000</c:v>
                </c:pt>
                <c:pt idx="2">
                  <c:v>40200</c:v>
                </c:pt>
                <c:pt idx="3">
                  <c:v>36960</c:v>
                </c:pt>
                <c:pt idx="4">
                  <c:v>87930</c:v>
                </c:pt>
                <c:pt idx="5">
                  <c:v>91620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100"/>
        <c:overlap val="-24"/>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Tables!PivotTable12</c:name>
    <c:fmtId val="4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87930</c:v>
                </c:pt>
                <c:pt idx="1">
                  <c:v>91620</c:v>
                </c:pt>
                <c:pt idx="2">
                  <c:v>118440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227"/>
        <c:overlap val="-48"/>
        <c:axId val="562442720"/>
        <c:axId val="562448296"/>
      </c:barChart>
      <c:catAx>
        <c:axId val="56244272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Tables!PivotTable13</c:name>
    <c:fmtId val="5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Tables'!$A$112:$A$115</c:f>
              <c:strCache>
                <c:ptCount val="3"/>
                <c:pt idx="0">
                  <c:v>Chandu</c:v>
                </c:pt>
                <c:pt idx="1">
                  <c:v>Ramesh</c:v>
                </c:pt>
                <c:pt idx="2">
                  <c:v>Amit</c:v>
                </c:pt>
              </c:strCache>
            </c:strRef>
          </c:cat>
          <c:val>
            <c:numRef>
              <c:f>'Pivot Tables'!$B$112:$B$115</c:f>
              <c:numCache>
                <c:formatCode>General</c:formatCode>
                <c:ptCount val="3"/>
                <c:pt idx="0">
                  <c:v>40200</c:v>
                </c:pt>
                <c:pt idx="1">
                  <c:v>36960</c:v>
                </c:pt>
                <c:pt idx="2">
                  <c:v>30000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00"/>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45600</c:v>
                </c:pt>
                <c:pt idx="1">
                  <c:v>29910</c:v>
                </c:pt>
                <c:pt idx="2">
                  <c:v>23610</c:v>
                </c:pt>
                <c:pt idx="3">
                  <c:v>54780</c:v>
                </c:pt>
                <c:pt idx="4">
                  <c:v>23130</c:v>
                </c:pt>
                <c:pt idx="5">
                  <c:v>41100</c:v>
                </c:pt>
                <c:pt idx="6">
                  <c:v>45390</c:v>
                </c:pt>
                <c:pt idx="7">
                  <c:v>39870</c:v>
                </c:pt>
                <c:pt idx="8">
                  <c:v>30330</c:v>
                </c:pt>
                <c:pt idx="9">
                  <c:v>27090</c:v>
                </c:pt>
                <c:pt idx="10">
                  <c:v>12510</c:v>
                </c:pt>
                <c:pt idx="11">
                  <c:v>31830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Siddhu</c:v>
                </c:pt>
                <c:pt idx="2">
                  <c:v>Ajit Kumar</c:v>
                </c:pt>
              </c:strCache>
            </c:strRef>
          </c:cat>
          <c:val>
            <c:numRef>
              <c:f>'Pivot Tables'!$B$104:$B$107</c:f>
              <c:numCache>
                <c:formatCode>General</c:formatCode>
                <c:ptCount val="3"/>
                <c:pt idx="0">
                  <c:v>87930</c:v>
                </c:pt>
                <c:pt idx="1">
                  <c:v>91620</c:v>
                </c:pt>
                <c:pt idx="2">
                  <c:v>118440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me '!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me '!A1"/><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2.svg"/><Relationship Id="rId7" Type="http://schemas.openxmlformats.org/officeDocument/2006/relationships/chart" Target="../charts/chart13.xml"/><Relationship Id="rId2" Type="http://schemas.openxmlformats.org/officeDocument/2006/relationships/image" Target="../media/image1.png"/><Relationship Id="rId1" Type="http://schemas.openxmlformats.org/officeDocument/2006/relationships/hyperlink" Target="#'About me '!A1"/><Relationship Id="rId6" Type="http://schemas.openxmlformats.org/officeDocument/2006/relationships/hyperlink" Target="#Salesmans!A1"/><Relationship Id="rId5" Type="http://schemas.openxmlformats.org/officeDocument/2006/relationships/hyperlink" Target="#Product!A1"/><Relationship Id="rId4" Type="http://schemas.openxmlformats.org/officeDocument/2006/relationships/hyperlink" Target="#Dashboard!A1"/><Relationship Id="rId9"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me '!A1"/><Relationship Id="rId5" Type="http://schemas.openxmlformats.org/officeDocument/2006/relationships/hyperlink" Target="#Salesmans!A1"/><Relationship Id="rId4" Type="http://schemas.openxmlformats.org/officeDocument/2006/relationships/hyperlink" Target="#Product!A1"/></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0</xdr:row>
      <xdr:rowOff>152400</xdr:rowOff>
    </xdr:from>
    <xdr:to>
      <xdr:col>14</xdr:col>
      <xdr:colOff>468630</xdr:colOff>
      <xdr:row>26</xdr:row>
      <xdr:rowOff>91440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220980" y="152400"/>
          <a:ext cx="11342370" cy="5882640"/>
        </a:xfrm>
        <a:prstGeom prst="roundRect">
          <a:avLst>
            <a:gd name="adj" fmla="val 691"/>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312420</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897380" y="254000"/>
          <a:ext cx="9552939" cy="56578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bg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792143</xdr:colOff>
      <xdr:row>11</xdr:row>
      <xdr:rowOff>38100</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339503" y="2552700"/>
          <a:ext cx="4977467" cy="13015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312420</xdr:colOff>
      <xdr:row>11</xdr:row>
      <xdr:rowOff>33030</xdr:rowOff>
    </xdr:from>
    <xdr:to>
      <xdr:col>7</xdr:col>
      <xdr:colOff>716281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274820" y="2547630"/>
          <a:ext cx="1988821" cy="76056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122144</xdr:rowOff>
    </xdr:from>
    <xdr:to>
      <xdr:col>2</xdr:col>
      <xdr:colOff>152400</xdr:colOff>
      <xdr:row>8</xdr:row>
      <xdr:rowOff>183524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2344"/>
          <a:ext cx="1445234" cy="28998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74518</xdr:rowOff>
    </xdr:from>
    <xdr:to>
      <xdr:col>2</xdr:col>
      <xdr:colOff>152400</xdr:colOff>
      <xdr:row>10</xdr:row>
      <xdr:rowOff>135901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31918"/>
          <a:ext cx="1445234" cy="28998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11</xdr:row>
      <xdr:rowOff>33243</xdr:rowOff>
    </xdr:from>
    <xdr:to>
      <xdr:col>2</xdr:col>
      <xdr:colOff>161925</xdr:colOff>
      <xdr:row>12</xdr:row>
      <xdr:rowOff>93567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47843"/>
          <a:ext cx="1445234" cy="2889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13</xdr:row>
      <xdr:rowOff>1118</xdr:rowOff>
    </xdr:from>
    <xdr:to>
      <xdr:col>2</xdr:col>
      <xdr:colOff>171450</xdr:colOff>
      <xdr:row>14</xdr:row>
      <xdr:rowOff>55467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2972918"/>
          <a:ext cx="1445234" cy="2829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3</xdr:col>
      <xdr:colOff>155600</xdr:colOff>
      <xdr:row>11</xdr:row>
      <xdr:rowOff>93194</xdr:rowOff>
    </xdr:from>
    <xdr:to>
      <xdr:col>4</xdr:col>
      <xdr:colOff>525779</xdr:colOff>
      <xdr:row>13</xdr:row>
      <xdr:rowOff>22860</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533040" y="2607794"/>
          <a:ext cx="1162659" cy="38686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33681</xdr:colOff>
      <xdr:row>11</xdr:row>
      <xdr:rowOff>139923</xdr:rowOff>
    </xdr:from>
    <xdr:to>
      <xdr:col>7</xdr:col>
      <xdr:colOff>395631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788561" y="2654523"/>
          <a:ext cx="1154430" cy="29527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187986</xdr:colOff>
      <xdr:row>12</xdr:row>
      <xdr:rowOff>100341</xdr:rowOff>
    </xdr:from>
    <xdr:to>
      <xdr:col>4</xdr:col>
      <xdr:colOff>645186</xdr:colOff>
      <xdr:row>13</xdr:row>
      <xdr:rowOff>169132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565426" y="2843541"/>
          <a:ext cx="1249680" cy="2973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3C2CD43-88FA-474C-84DD-A253FCE6498F}" type="TxLink">
            <a:rPr lang="en-US" sz="1800" b="1" i="0" u="none" strike="noStrike">
              <a:solidFill>
                <a:srgbClr val="000000"/>
              </a:solidFill>
              <a:latin typeface="Calibri"/>
              <a:ea typeface="Calibri"/>
              <a:cs typeface="Calibri"/>
            </a:rPr>
            <a:t>4,05,150</a:t>
          </a:fld>
          <a:endParaRPr lang="en-US" sz="1800" b="1">
            <a:solidFill>
              <a:schemeClr val="tx1"/>
            </a:solidFill>
          </a:endParaRPr>
        </a:p>
      </xdr:txBody>
    </xdr:sp>
    <xdr:clientData/>
  </xdr:twoCellAnchor>
  <xdr:twoCellAnchor>
    <xdr:from>
      <xdr:col>6</xdr:col>
      <xdr:colOff>257175</xdr:colOff>
      <xdr:row>12</xdr:row>
      <xdr:rowOff>149235</xdr:rowOff>
    </xdr:from>
    <xdr:to>
      <xdr:col>7</xdr:col>
      <xdr:colOff>7620</xdr:colOff>
      <xdr:row>14</xdr:row>
      <xdr:rowOff>38100</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5012055" y="2892435"/>
          <a:ext cx="542925" cy="346065"/>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1800" b="1" i="0" u="none" strike="noStrike">
              <a:solidFill>
                <a:srgbClr val="000000"/>
              </a:solidFill>
              <a:latin typeface="Calibri"/>
            </a:rPr>
            <a:pPr algn="l"/>
            <a:t>125</a:t>
          </a:fld>
          <a:endParaRPr lang="en-US" sz="1800" b="1">
            <a:solidFill>
              <a:schemeClr val="tx1"/>
            </a:solidFill>
          </a:endParaRPr>
        </a:p>
      </xdr:txBody>
    </xdr:sp>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222250</xdr:colOff>
      <xdr:row>24</xdr:row>
      <xdr:rowOff>114300</xdr:rowOff>
    </xdr:from>
    <xdr:to>
      <xdr:col>2</xdr:col>
      <xdr:colOff>241300</xdr:colOff>
      <xdr:row>28</xdr:row>
      <xdr:rowOff>133350</xdr:rowOff>
    </xdr:to>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Vaibhav</a:t>
          </a:r>
          <a:r>
            <a:rPr lang="en-IN" sz="1000" baseline="0"/>
            <a:t> Bari </a:t>
          </a:r>
          <a:endParaRPr lang="en-IN" sz="1000"/>
        </a:p>
      </xdr:txBody>
    </xdr:sp>
    <xdr:clientData/>
  </xdr:twoCellAnchor>
  <xdr:twoCellAnchor>
    <xdr:from>
      <xdr:col>8</xdr:col>
      <xdr:colOff>164763</xdr:colOff>
      <xdr:row>12</xdr:row>
      <xdr:rowOff>60960</xdr:rowOff>
    </xdr:from>
    <xdr:to>
      <xdr:col>13</xdr:col>
      <xdr:colOff>685800</xdr:colOff>
      <xdr:row>16</xdr:row>
      <xdr:rowOff>99060</xdr:rowOff>
    </xdr:to>
    <xdr:graphicFrame macro="">
      <xdr:nvGraphicFramePr>
        <xdr:cNvPr id="11" name="Chart 10">
          <a:extLst>
            <a:ext uri="{FF2B5EF4-FFF2-40B4-BE49-F238E27FC236}">
              <a16:creationId xmlns:a16="http://schemas.microsoft.com/office/drawing/2014/main" id="{9035D99E-ADEE-4BCC-A0F4-9C61F88F0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7</xdr:row>
      <xdr:rowOff>0</xdr:rowOff>
    </xdr:from>
    <xdr:to>
      <xdr:col>16</xdr:col>
      <xdr:colOff>457200</xdr:colOff>
      <xdr:row>8</xdr:row>
      <xdr:rowOff>68791</xdr:rowOff>
    </xdr:to>
    <xdr:sp macro="" textlink="">
      <xdr:nvSpPr>
        <xdr:cNvPr id="23" name="Rectangle: Rounded Corners 22">
          <a:extLst>
            <a:ext uri="{FF2B5EF4-FFF2-40B4-BE49-F238E27FC236}">
              <a16:creationId xmlns:a16="http://schemas.microsoft.com/office/drawing/2014/main" id="{05EDF16A-0518-4DF4-8884-CF1135709444}"/>
            </a:ext>
          </a:extLst>
        </xdr:cNvPr>
        <xdr:cNvSpPr/>
      </xdr:nvSpPr>
      <xdr:spPr>
        <a:xfrm>
          <a:off x="11932418" y="1582615"/>
          <a:ext cx="1252694" cy="29487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i="0" u="none" strike="noStrike">
            <a:solidFill>
              <a:schemeClr val="tx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0</xdr:row>
      <xdr:rowOff>208290</xdr:rowOff>
    </xdr:from>
    <xdr:to>
      <xdr:col>14</xdr:col>
      <xdr:colOff>430530</xdr:colOff>
      <xdr:row>26</xdr:row>
      <xdr:rowOff>60960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82880" y="208290"/>
          <a:ext cx="11342370" cy="5796270"/>
        </a:xfrm>
        <a:prstGeom prst="roundRect">
          <a:avLst>
            <a:gd name="adj" fmla="val 691"/>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bg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a:t>
          </a:r>
        </a:p>
        <a:p>
          <a:pPr algn="l"/>
          <a:r>
            <a:rPr lang="en-IN" sz="1000"/>
            <a:t>Vaibhav</a:t>
          </a:r>
          <a:r>
            <a:rPr lang="en-IN" sz="1000" baseline="0"/>
            <a:t> Bari </a:t>
          </a:r>
          <a:endParaRPr lang="en-IN" sz="1000"/>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16760" y="2628900"/>
          <a:ext cx="4481830" cy="31750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662940</xdr:colOff>
      <xdr:row>13</xdr:row>
      <xdr:rowOff>83821</xdr:rowOff>
    </xdr:from>
    <xdr:to>
      <xdr:col>7</xdr:col>
      <xdr:colOff>487680</xdr:colOff>
      <xdr:row>24</xdr:row>
      <xdr:rowOff>38101</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bg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Vaibhav</a:t>
          </a:r>
          <a:r>
            <a:rPr lang="en-IN" sz="1000" baseline="0"/>
            <a:t> Bari</a:t>
          </a:r>
          <a:endParaRPr lang="en-IN" sz="1000"/>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24</xdr:row>
      <xdr:rowOff>144780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791128</xdr:colOff>
      <xdr:row>25</xdr:row>
      <xdr:rowOff>68580</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626850" cy="5961370"/>
        </a:xfrm>
        <a:prstGeom prst="roundRect">
          <a:avLst>
            <a:gd name="adj" fmla="val 691"/>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294664</xdr:colOff>
      <xdr:row>1</xdr:row>
      <xdr:rowOff>48260</xdr:rowOff>
    </xdr:from>
    <xdr:to>
      <xdr:col>14</xdr:col>
      <xdr:colOff>370839</xdr:colOff>
      <xdr:row>25</xdr:row>
      <xdr:rowOff>219710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879624" y="276860"/>
          <a:ext cx="9585935" cy="56578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bg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Vaibhav</a:t>
          </a:r>
          <a:r>
            <a:rPr lang="en-IN" sz="1000" baseline="0"/>
            <a:t> Bari </a:t>
          </a:r>
          <a:endParaRPr lang="en-IN" sz="1000"/>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me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20</xdr:row>
      <xdr:rowOff>136525</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82799" y="3962401"/>
          <a:ext cx="8347075"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by Vaibhav Bari (MCA Data Science)</a:t>
          </a:r>
          <a:endParaRPr lang="en-US" sz="1400" b="0" i="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46C04-5981-416B-8C9A-1B949B9D5C1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numFmtId="14" showAll="0"/>
    <pivotField showAll="0"/>
    <pivotField showAll="0"/>
    <pivotField showAll="0"/>
    <pivotField numFmtId="164" showAll="0"/>
    <pivotField numFmtId="164" showAll="0"/>
    <pivotField dataField="1" numFmtId="164" showAll="0"/>
    <pivotField showAll="0" defaultSubtotal="0"/>
  </pivotFields>
  <rowItems count="1">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CDAC5-64D5-427A-BA78-21464F7AE56A}"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numFmtId="164" showAll="0"/>
    <pivotField showAll="0" defaultSubtotal="0"/>
  </pivotFields>
  <pivotTableStyleInfo name="PivotStyleLight16" showRowHeaders="1" showColHeaders="1" showRowStripes="0" showColStripes="0" showLastColumn="1"/>
  <filters count="1">
    <filter fld="1" type="dateBetween" evalOrder="-1" id="5"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5">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2">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2"/>
    </i>
    <i>
      <x v="3"/>
    </i>
    <i>
      <x v="1"/>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7">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v="5"/>
    </i>
    <i>
      <x/>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6">
  <location ref="A49:B5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x="2"/>
        <item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v="1"/>
    </i>
    <i>
      <x v="2"/>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0">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2">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1">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4"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61:B6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x="2"/>
        <item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v="1"/>
    </i>
    <i>
      <x v="2"/>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i x="2" s="1"/>
        <i x="0" s="1"/>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3" rowHeight="180000"/>
  <slicer name="Item 1" xr10:uid="{BEAA5A07-F153-4C01-8235-0255F7516DD4}" cache="Slicer_Item" caption="Item" columnCount="6" style="SlicerStyleLight3"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startItem="2" columnCount="2" style="SlicerStyleLight3" rowHeight="180000"/>
  <slicer name="Item 5" xr10:uid="{268C100A-2D37-453E-B3A2-3F37D5DF023F}" cache="Slicer_Item" caption="Item" columnCount="6" style="SlicerStyleLight3" rowHeight="25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3" rowHeight="180000"/>
  <slicer name="Item 6" xr10:uid="{04C327AE-57A0-4A94-ADE0-833814E9BFF0}" cache="Slicer_Item" caption="Item" columnCount="6" style="SlicerStyleLight3" rowHeight="252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3" rowHeight="180000"/>
  <slicer name="Item 7" xr10:uid="{12A94087-9857-411F-A339-3D2BCBFE95E4}" cache="Slicer_Item" caption="Item" columnCount="6" style="SlicerStyleLight3" rowHeight="2520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3"/>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3"/>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3"/>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4AF632-B45E-49EF-A2A5-FA5901301390}">
  <we:reference id="wa200005502" version="1.0.0.12" store="en-US" storeType="OMEX"/>
  <we:alternateReferences>
    <we:reference id="wa200005502" version="1.0.0.12" store="wa200005502" storeType="OMEX"/>
  </we:alternateReferences>
  <we:properties>
    <we:property name="docId" value="&quot;ZiaagwpxbiLMh3XeARD2k&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7.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8.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microsoft.com/office/2011/relationships/timeline" Target="../timelines/timeline8.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13C1-0C11-4067-B2E6-4072AA9557B2}">
  <dimension ref="A3:B4"/>
  <sheetViews>
    <sheetView workbookViewId="0">
      <selection activeCell="B4" sqref="B4"/>
    </sheetView>
  </sheetViews>
  <sheetFormatPr defaultRowHeight="18" x14ac:dyDescent="0.35"/>
  <cols>
    <col min="1" max="1" width="13.1640625" bestFit="1" customWidth="1"/>
  </cols>
  <sheetData>
    <row r="3" spans="1:2" x14ac:dyDescent="0.35">
      <c r="A3" t="s">
        <v>33</v>
      </c>
    </row>
    <row r="4" spans="1:2" x14ac:dyDescent="0.35">
      <c r="A4" s="12">
        <v>1782570</v>
      </c>
      <c r="B4" s="12">
        <f>A4</f>
        <v>1782570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N12" sqref="A1:XFD1048576"/>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zoomScale="91" zoomScaleNormal="10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5EC2-4BE7-4131-87BD-95201473863A}">
  <dimension ref="A1:C20"/>
  <sheetViews>
    <sheetView topLeftCell="A4" workbookViewId="0">
      <selection activeCell="B14" sqref="B14"/>
    </sheetView>
  </sheetViews>
  <sheetFormatPr defaultRowHeight="18" x14ac:dyDescent="0.35"/>
  <sheetData>
    <row r="1" spans="1:3" x14ac:dyDescent="0.35">
      <c r="A1" t="s">
        <v>41</v>
      </c>
      <c r="B1">
        <f>SUM(Data!H2:'Data'!H367)</f>
        <v>1782570</v>
      </c>
    </row>
    <row r="3" spans="1:3" x14ac:dyDescent="0.35">
      <c r="A3" s="16"/>
      <c r="B3" s="17"/>
      <c r="C3" s="18"/>
    </row>
    <row r="4" spans="1:3" x14ac:dyDescent="0.35">
      <c r="A4" s="19"/>
      <c r="B4" s="20"/>
      <c r="C4" s="21"/>
    </row>
    <row r="5" spans="1:3" x14ac:dyDescent="0.35">
      <c r="A5" s="19"/>
      <c r="B5" s="20"/>
      <c r="C5" s="21"/>
    </row>
    <row r="6" spans="1:3" x14ac:dyDescent="0.35">
      <c r="A6" s="19"/>
      <c r="B6" s="20"/>
      <c r="C6" s="21"/>
    </row>
    <row r="7" spans="1:3" x14ac:dyDescent="0.35">
      <c r="A7" s="19"/>
      <c r="B7" s="20"/>
      <c r="C7" s="21"/>
    </row>
    <row r="8" spans="1:3" x14ac:dyDescent="0.35">
      <c r="A8" s="19"/>
      <c r="B8" s="20"/>
      <c r="C8" s="21"/>
    </row>
    <row r="9" spans="1:3" x14ac:dyDescent="0.35">
      <c r="A9" s="19"/>
      <c r="B9" s="20"/>
      <c r="C9" s="21"/>
    </row>
    <row r="10" spans="1:3" x14ac:dyDescent="0.35">
      <c r="A10" s="19"/>
      <c r="B10" s="20"/>
      <c r="C10" s="21"/>
    </row>
    <row r="11" spans="1:3" x14ac:dyDescent="0.35">
      <c r="A11" s="19"/>
      <c r="B11" s="20"/>
      <c r="C11" s="21"/>
    </row>
    <row r="12" spans="1:3" x14ac:dyDescent="0.35">
      <c r="A12" s="19"/>
      <c r="B12" s="20"/>
      <c r="C12" s="21"/>
    </row>
    <row r="13" spans="1:3" x14ac:dyDescent="0.35">
      <c r="A13" s="19"/>
      <c r="B13" s="20"/>
      <c r="C13" s="21"/>
    </row>
    <row r="14" spans="1:3" x14ac:dyDescent="0.35">
      <c r="A14" s="19"/>
      <c r="B14" s="20"/>
      <c r="C14" s="21"/>
    </row>
    <row r="15" spans="1:3" x14ac:dyDescent="0.35">
      <c r="A15" s="19"/>
      <c r="B15" s="20"/>
      <c r="C15" s="21"/>
    </row>
    <row r="16" spans="1:3" x14ac:dyDescent="0.35">
      <c r="A16" s="19"/>
      <c r="B16" s="20"/>
      <c r="C16" s="21"/>
    </row>
    <row r="17" spans="1:3" x14ac:dyDescent="0.35">
      <c r="A17" s="19"/>
      <c r="B17" s="20"/>
      <c r="C17" s="21"/>
    </row>
    <row r="18" spans="1:3" x14ac:dyDescent="0.35">
      <c r="A18" s="19"/>
      <c r="B18" s="20"/>
      <c r="C18" s="21"/>
    </row>
    <row r="19" spans="1:3" x14ac:dyDescent="0.35">
      <c r="A19" s="19"/>
      <c r="B19" s="20"/>
      <c r="C19" s="21"/>
    </row>
    <row r="20" spans="1:3" x14ac:dyDescent="0.35">
      <c r="A20" s="22"/>
      <c r="B20" s="23"/>
      <c r="C20"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1DDE-7F52-409E-B843-038E1110B546}">
  <dimension ref="A1"/>
  <sheetViews>
    <sheetView workbookViewId="0">
      <selection activeCell="D5" sqref="D5:I18"/>
    </sheetView>
  </sheetViews>
  <sheetFormatPr defaultRowHeight="18" x14ac:dyDescent="0.35"/>
  <cols>
    <col min="1" max="1" width="11.33203125" bestFit="1" customWidth="1"/>
    <col min="2" max="2" width="13.1640625" bestFit="1" customWidth="1"/>
    <col min="3" max="3" width="10.664062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topLeftCell="A13" zoomScaleNormal="10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tabSelected="1" topLeftCell="A13" zoomScaleNormal="10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C29"/>
  <sheetViews>
    <sheetView showGridLines="0" showRowColHeaders="0" topLeftCell="A7" zoomScale="87" zoomScaleNormal="100" workbookViewId="0"/>
  </sheetViews>
  <sheetFormatPr defaultRowHeight="18" x14ac:dyDescent="0.35"/>
  <sheetData>
    <row r="29" spans="3:3" x14ac:dyDescent="0.35">
      <c r="C29"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I29" sqref="I29"/>
    </sheetView>
  </sheetViews>
  <sheetFormatPr defaultRowHeight="18" x14ac:dyDescent="0.35"/>
  <cols>
    <col min="1" max="1" width="11.33203125" bestFit="1" customWidth="1"/>
    <col min="2" max="2" width="9.58203125" bestFit="1" customWidth="1"/>
  </cols>
  <sheetData>
    <row r="2" spans="1:3" x14ac:dyDescent="0.35">
      <c r="A2" s="7" t="s">
        <v>24</v>
      </c>
      <c r="B2" t="s">
        <v>33</v>
      </c>
    </row>
    <row r="3" spans="1:3" x14ac:dyDescent="0.35">
      <c r="A3" s="8" t="s">
        <v>38</v>
      </c>
      <c r="B3" s="15">
        <v>45600</v>
      </c>
    </row>
    <row r="4" spans="1:3" x14ac:dyDescent="0.35">
      <c r="A4" s="8" t="s">
        <v>39</v>
      </c>
      <c r="B4" s="15">
        <v>29910</v>
      </c>
    </row>
    <row r="5" spans="1:3" x14ac:dyDescent="0.35">
      <c r="A5" s="8" t="s">
        <v>40</v>
      </c>
      <c r="B5" s="15">
        <v>23610</v>
      </c>
    </row>
    <row r="6" spans="1:3" x14ac:dyDescent="0.35">
      <c r="A6" s="8" t="s">
        <v>26</v>
      </c>
      <c r="B6" s="15">
        <v>54780</v>
      </c>
    </row>
    <row r="7" spans="1:3" x14ac:dyDescent="0.35">
      <c r="A7" s="8" t="s">
        <v>27</v>
      </c>
      <c r="B7" s="15">
        <v>23130</v>
      </c>
    </row>
    <row r="8" spans="1:3" x14ac:dyDescent="0.35">
      <c r="A8" s="8" t="s">
        <v>28</v>
      </c>
      <c r="B8" s="15">
        <v>41100</v>
      </c>
    </row>
    <row r="9" spans="1:3" x14ac:dyDescent="0.35">
      <c r="A9" s="8" t="s">
        <v>29</v>
      </c>
      <c r="B9" s="15">
        <v>45390</v>
      </c>
    </row>
    <row r="10" spans="1:3" x14ac:dyDescent="0.35">
      <c r="A10" s="8" t="s">
        <v>30</v>
      </c>
      <c r="B10" s="15">
        <v>39870</v>
      </c>
    </row>
    <row r="11" spans="1:3" x14ac:dyDescent="0.35">
      <c r="A11" s="8" t="s">
        <v>31</v>
      </c>
      <c r="B11" s="15">
        <v>30330</v>
      </c>
    </row>
    <row r="12" spans="1:3" x14ac:dyDescent="0.35">
      <c r="A12" s="8" t="s">
        <v>32</v>
      </c>
      <c r="B12" s="15">
        <v>27090</v>
      </c>
    </row>
    <row r="13" spans="1:3" x14ac:dyDescent="0.35">
      <c r="A13" s="8" t="s">
        <v>36</v>
      </c>
      <c r="B13" s="15">
        <v>12510</v>
      </c>
    </row>
    <row r="14" spans="1:3" x14ac:dyDescent="0.35">
      <c r="A14" s="8" t="s">
        <v>37</v>
      </c>
      <c r="B14" s="15">
        <v>31830</v>
      </c>
    </row>
    <row r="15" spans="1:3" x14ac:dyDescent="0.35">
      <c r="A15" s="8" t="s">
        <v>25</v>
      </c>
      <c r="B15" s="15">
        <v>405150</v>
      </c>
      <c r="C15" s="12">
        <f>GETPIVOTDATA("Amount",$A$2)</f>
        <v>405150</v>
      </c>
    </row>
    <row r="18" spans="1:2" x14ac:dyDescent="0.35">
      <c r="A18" t="s">
        <v>34</v>
      </c>
    </row>
    <row r="19" spans="1:2" x14ac:dyDescent="0.35">
      <c r="A19" s="15">
        <v>125</v>
      </c>
      <c r="B19" s="12">
        <f>GETPIVOTDATA("Amount",$A$18)</f>
        <v>125</v>
      </c>
    </row>
    <row r="22" spans="1:2" x14ac:dyDescent="0.35">
      <c r="A22" s="7" t="s">
        <v>24</v>
      </c>
      <c r="B22" t="s">
        <v>33</v>
      </c>
    </row>
    <row r="23" spans="1:2" x14ac:dyDescent="0.35">
      <c r="A23" s="8" t="s">
        <v>38</v>
      </c>
      <c r="B23" s="15">
        <v>45600</v>
      </c>
    </row>
    <row r="24" spans="1:2" x14ac:dyDescent="0.35">
      <c r="A24" s="8" t="s">
        <v>39</v>
      </c>
      <c r="B24" s="15">
        <v>29910</v>
      </c>
    </row>
    <row r="25" spans="1:2" x14ac:dyDescent="0.35">
      <c r="A25" s="8" t="s">
        <v>40</v>
      </c>
      <c r="B25" s="15">
        <v>23610</v>
      </c>
    </row>
    <row r="26" spans="1:2" x14ac:dyDescent="0.35">
      <c r="A26" s="8" t="s">
        <v>26</v>
      </c>
      <c r="B26" s="15">
        <v>54780</v>
      </c>
    </row>
    <row r="27" spans="1:2" x14ac:dyDescent="0.35">
      <c r="A27" s="8" t="s">
        <v>27</v>
      </c>
      <c r="B27" s="15">
        <v>23130</v>
      </c>
    </row>
    <row r="28" spans="1:2" x14ac:dyDescent="0.35">
      <c r="A28" s="8" t="s">
        <v>28</v>
      </c>
      <c r="B28" s="15">
        <v>41100</v>
      </c>
    </row>
    <row r="29" spans="1:2" x14ac:dyDescent="0.35">
      <c r="A29" s="8" t="s">
        <v>29</v>
      </c>
      <c r="B29" s="15">
        <v>45390</v>
      </c>
    </row>
    <row r="30" spans="1:2" x14ac:dyDescent="0.35">
      <c r="A30" s="8" t="s">
        <v>30</v>
      </c>
      <c r="B30" s="15">
        <v>39870</v>
      </c>
    </row>
    <row r="31" spans="1:2" x14ac:dyDescent="0.35">
      <c r="A31" s="8" t="s">
        <v>31</v>
      </c>
      <c r="B31" s="15">
        <v>30330</v>
      </c>
    </row>
    <row r="32" spans="1:2" x14ac:dyDescent="0.35">
      <c r="A32" s="8" t="s">
        <v>32</v>
      </c>
      <c r="B32" s="15">
        <v>27090</v>
      </c>
    </row>
    <row r="33" spans="1:2" x14ac:dyDescent="0.35">
      <c r="A33" s="8" t="s">
        <v>36</v>
      </c>
      <c r="B33" s="15">
        <v>12510</v>
      </c>
    </row>
    <row r="34" spans="1:2" x14ac:dyDescent="0.35">
      <c r="A34" s="8" t="s">
        <v>37</v>
      </c>
      <c r="B34" s="15">
        <v>31830</v>
      </c>
    </row>
    <row r="35" spans="1:2" x14ac:dyDescent="0.35">
      <c r="A35" s="8" t="s">
        <v>25</v>
      </c>
      <c r="B35" s="15">
        <v>405150</v>
      </c>
    </row>
    <row r="40" spans="1:2" x14ac:dyDescent="0.35">
      <c r="A40" s="7" t="s">
        <v>24</v>
      </c>
      <c r="B40" t="s">
        <v>33</v>
      </c>
    </row>
    <row r="41" spans="1:2" x14ac:dyDescent="0.35">
      <c r="A41" s="8" t="s">
        <v>9</v>
      </c>
      <c r="B41" s="15">
        <v>173250</v>
      </c>
    </row>
    <row r="42" spans="1:2" x14ac:dyDescent="0.35">
      <c r="A42" s="8" t="s">
        <v>22</v>
      </c>
      <c r="B42" s="15">
        <v>75480</v>
      </c>
    </row>
    <row r="43" spans="1:2" x14ac:dyDescent="0.35">
      <c r="A43" s="8" t="s">
        <v>23</v>
      </c>
      <c r="B43" s="15">
        <v>38280</v>
      </c>
    </row>
    <row r="44" spans="1:2" x14ac:dyDescent="0.35">
      <c r="A44" s="8" t="s">
        <v>12</v>
      </c>
      <c r="B44" s="15">
        <v>118140</v>
      </c>
    </row>
    <row r="45" spans="1:2" x14ac:dyDescent="0.35">
      <c r="A45" s="8" t="s">
        <v>25</v>
      </c>
      <c r="B45" s="15">
        <v>405150</v>
      </c>
    </row>
    <row r="49" spans="1:2" x14ac:dyDescent="0.35">
      <c r="A49" s="7" t="s">
        <v>24</v>
      </c>
      <c r="B49" t="s">
        <v>35</v>
      </c>
    </row>
    <row r="50" spans="1:2" x14ac:dyDescent="0.35">
      <c r="A50" s="8" t="s">
        <v>15</v>
      </c>
      <c r="B50" s="13">
        <v>0.44035087719298244</v>
      </c>
    </row>
    <row r="51" spans="1:2" x14ac:dyDescent="0.35">
      <c r="A51" s="8" t="s">
        <v>10</v>
      </c>
      <c r="B51" s="13">
        <v>0.55964912280701751</v>
      </c>
    </row>
    <row r="52" spans="1:2" x14ac:dyDescent="0.35">
      <c r="A52" s="8" t="s">
        <v>25</v>
      </c>
      <c r="B52" s="13">
        <v>1</v>
      </c>
    </row>
    <row r="61" spans="1:2" x14ac:dyDescent="0.35">
      <c r="A61" s="7" t="s">
        <v>24</v>
      </c>
      <c r="B61" t="s">
        <v>35</v>
      </c>
    </row>
    <row r="62" spans="1:2" x14ac:dyDescent="0.35">
      <c r="A62" s="8" t="s">
        <v>15</v>
      </c>
      <c r="B62" s="15">
        <v>251</v>
      </c>
    </row>
    <row r="63" spans="1:2" x14ac:dyDescent="0.35">
      <c r="A63" s="8" t="s">
        <v>10</v>
      </c>
      <c r="B63" s="15">
        <v>319</v>
      </c>
    </row>
    <row r="64" spans="1:2" x14ac:dyDescent="0.35">
      <c r="A64" s="8" t="s">
        <v>25</v>
      </c>
      <c r="B64" s="15">
        <v>570</v>
      </c>
    </row>
    <row r="75" spans="1:2" x14ac:dyDescent="0.35">
      <c r="A75" s="7" t="s">
        <v>24</v>
      </c>
      <c r="B75" t="s">
        <v>35</v>
      </c>
    </row>
    <row r="76" spans="1:2" x14ac:dyDescent="0.35">
      <c r="A76" s="8" t="s">
        <v>17</v>
      </c>
      <c r="B76" s="15">
        <v>242</v>
      </c>
    </row>
    <row r="77" spans="1:2" x14ac:dyDescent="0.35">
      <c r="A77" s="8" t="s">
        <v>10</v>
      </c>
      <c r="B77" s="15">
        <v>319</v>
      </c>
    </row>
    <row r="78" spans="1:2" x14ac:dyDescent="0.35">
      <c r="A78" s="8" t="s">
        <v>13</v>
      </c>
      <c r="B78" s="15">
        <v>445</v>
      </c>
    </row>
    <row r="79" spans="1:2" x14ac:dyDescent="0.35">
      <c r="A79" s="8" t="s">
        <v>25</v>
      </c>
      <c r="B79" s="15">
        <v>1006</v>
      </c>
    </row>
    <row r="84" spans="1:2" x14ac:dyDescent="0.35">
      <c r="A84" s="7" t="s">
        <v>24</v>
      </c>
      <c r="B84" t="s">
        <v>35</v>
      </c>
    </row>
    <row r="85" spans="1:2" x14ac:dyDescent="0.35">
      <c r="A85" s="8" t="s">
        <v>17</v>
      </c>
      <c r="B85" s="15">
        <v>242</v>
      </c>
    </row>
    <row r="86" spans="1:2" x14ac:dyDescent="0.35">
      <c r="A86" s="8" t="s">
        <v>19</v>
      </c>
      <c r="B86" s="15">
        <v>218</v>
      </c>
    </row>
    <row r="87" spans="1:2" x14ac:dyDescent="0.35">
      <c r="A87" s="8" t="s">
        <v>21</v>
      </c>
      <c r="B87" s="15">
        <v>132</v>
      </c>
    </row>
    <row r="88" spans="1:2" x14ac:dyDescent="0.35">
      <c r="A88" s="8" t="s">
        <v>25</v>
      </c>
      <c r="B88" s="15">
        <v>592</v>
      </c>
    </row>
    <row r="92" spans="1:2" x14ac:dyDescent="0.35">
      <c r="A92" s="7" t="s">
        <v>24</v>
      </c>
      <c r="B92" t="s">
        <v>33</v>
      </c>
    </row>
    <row r="93" spans="1:2" x14ac:dyDescent="0.35">
      <c r="A93" s="8" t="s">
        <v>8</v>
      </c>
      <c r="B93" s="15">
        <v>118440</v>
      </c>
    </row>
    <row r="94" spans="1:2" x14ac:dyDescent="0.35">
      <c r="A94" s="8" t="s">
        <v>16</v>
      </c>
      <c r="B94" s="15">
        <v>30000</v>
      </c>
    </row>
    <row r="95" spans="1:2" x14ac:dyDescent="0.35">
      <c r="A95" s="8" t="s">
        <v>18</v>
      </c>
      <c r="B95" s="15">
        <v>40200</v>
      </c>
    </row>
    <row r="96" spans="1:2" x14ac:dyDescent="0.35">
      <c r="A96" s="8" t="s">
        <v>14</v>
      </c>
      <c r="B96" s="15">
        <v>36960</v>
      </c>
    </row>
    <row r="97" spans="1:2" x14ac:dyDescent="0.35">
      <c r="A97" s="8" t="s">
        <v>11</v>
      </c>
      <c r="B97" s="15">
        <v>87930</v>
      </c>
    </row>
    <row r="98" spans="1:2" x14ac:dyDescent="0.35">
      <c r="A98" s="8" t="s">
        <v>20</v>
      </c>
      <c r="B98" s="15">
        <v>91620</v>
      </c>
    </row>
    <row r="99" spans="1:2" x14ac:dyDescent="0.35">
      <c r="A99" s="8" t="s">
        <v>25</v>
      </c>
      <c r="B99" s="15">
        <v>405150</v>
      </c>
    </row>
    <row r="103" spans="1:2" x14ac:dyDescent="0.35">
      <c r="A103" s="7" t="s">
        <v>24</v>
      </c>
      <c r="B103" t="s">
        <v>33</v>
      </c>
    </row>
    <row r="104" spans="1:2" x14ac:dyDescent="0.35">
      <c r="A104" s="8" t="s">
        <v>11</v>
      </c>
      <c r="B104" s="15">
        <v>87930</v>
      </c>
    </row>
    <row r="105" spans="1:2" x14ac:dyDescent="0.35">
      <c r="A105" s="8" t="s">
        <v>20</v>
      </c>
      <c r="B105" s="15">
        <v>91620</v>
      </c>
    </row>
    <row r="106" spans="1:2" x14ac:dyDescent="0.35">
      <c r="A106" s="8" t="s">
        <v>8</v>
      </c>
      <c r="B106" s="15">
        <v>118440</v>
      </c>
    </row>
    <row r="107" spans="1:2" x14ac:dyDescent="0.35">
      <c r="A107" s="8" t="s">
        <v>25</v>
      </c>
      <c r="B107" s="15">
        <v>297990</v>
      </c>
    </row>
    <row r="111" spans="1:2" x14ac:dyDescent="0.35">
      <c r="A111" s="7" t="s">
        <v>24</v>
      </c>
      <c r="B111" t="s">
        <v>33</v>
      </c>
    </row>
    <row r="112" spans="1:2" x14ac:dyDescent="0.35">
      <c r="A112" s="8" t="s">
        <v>18</v>
      </c>
      <c r="B112" s="15">
        <v>40200</v>
      </c>
    </row>
    <row r="113" spans="1:2" x14ac:dyDescent="0.35">
      <c r="A113" s="8" t="s">
        <v>14</v>
      </c>
      <c r="B113" s="15">
        <v>36960</v>
      </c>
    </row>
    <row r="114" spans="1:2" x14ac:dyDescent="0.35">
      <c r="A114" s="8" t="s">
        <v>16</v>
      </c>
      <c r="B114" s="15">
        <v>30000</v>
      </c>
    </row>
    <row r="115" spans="1:2" x14ac:dyDescent="0.35">
      <c r="A115" s="8" t="s">
        <v>25</v>
      </c>
      <c r="B115" s="15">
        <v>107160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Sheet3</vt:lpstr>
      <vt:lpstr>Data</vt:lpstr>
      <vt:lpstr>Dashboard</vt:lpstr>
      <vt:lpstr>About</vt:lpstr>
      <vt:lpstr>salesman</vt:lpstr>
      <vt:lpstr>Products</vt:lpstr>
      <vt:lpstr>Sheet1</vt:lpstr>
      <vt:lpstr>Sheet2</vt:lpstr>
      <vt:lpstr>Product</vt:lpstr>
      <vt:lpstr>Salesmans</vt:lpstr>
      <vt:lpstr>About me </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Vaibhav Bari</cp:lastModifiedBy>
  <dcterms:created xsi:type="dcterms:W3CDTF">2021-11-30T04:15:57Z</dcterms:created>
  <dcterms:modified xsi:type="dcterms:W3CDTF">2026-02-08T08:07:51Z</dcterms:modified>
</cp:coreProperties>
</file>